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/>
  <workbookPr defaultThemeVersion="202300"/>
  <mc:AlternateContent xmlns:mc="http://schemas.openxmlformats.org/markup-compatibility/2006">
    <mc:Choice Requires="x15">
      <x15ac:absPath xmlns:x15ac="http://schemas.microsoft.com/office/spreadsheetml/2010/11/ac" url="U:\RBE\_PÚBLICO (Apenas trocas de arquivos)\Rating - Shared\"/>
    </mc:Choice>
  </mc:AlternateContent>
  <xr:revisionPtr revIDLastSave="0" documentId="13_ncr:1_{FE1D535E-2382-424F-BECE-C9EFDC4B24F6}" xr6:coauthVersionLast="47" xr6:coauthVersionMax="47" xr10:uidLastSave="{00000000-0000-0000-0000-000000000000}"/>
  <bookViews>
    <workbookView xWindow="28680" yWindow="2280" windowWidth="20730" windowHeight="11160" xr2:uid="{DE8D4FAF-38A1-48B7-8711-3132BCA00EC9}"/>
  </bookViews>
  <sheets>
    <sheet name="Planilh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2" i="1" l="1"/>
  <c r="D22" i="1"/>
  <c r="C22" i="1"/>
  <c r="B22" i="1"/>
  <c r="E15" i="1"/>
  <c r="D15" i="1"/>
  <c r="C15" i="1"/>
  <c r="B15" i="1"/>
</calcChain>
</file>

<file path=xl/sharedStrings.xml><?xml version="1.0" encoding="utf-8"?>
<sst xmlns="http://schemas.openxmlformats.org/spreadsheetml/2006/main" count="33" uniqueCount="27">
  <si>
    <t>Indicadores</t>
  </si>
  <si>
    <t>Trading</t>
  </si>
  <si>
    <t>Gerador</t>
  </si>
  <si>
    <t>Consumidor</t>
  </si>
  <si>
    <t>Liquidez Corrente</t>
  </si>
  <si>
    <t>Liquidez Geral</t>
  </si>
  <si>
    <t>Patrimônio Líquido</t>
  </si>
  <si>
    <t>Termômetro de Insolvência</t>
  </si>
  <si>
    <t>Endividamento com Terceiros</t>
  </si>
  <si>
    <t>G.R.O</t>
  </si>
  <si>
    <t>Caixas e Equivalências</t>
  </si>
  <si>
    <t>Auditoria</t>
  </si>
  <si>
    <t>PMP</t>
  </si>
  <si>
    <t>PMR</t>
  </si>
  <si>
    <t>Alavancagem EBITDA</t>
  </si>
  <si>
    <t>Cobertura de Juros</t>
  </si>
  <si>
    <t>Alavancagem Curto Prazo</t>
  </si>
  <si>
    <t>Total %</t>
  </si>
  <si>
    <t>Fundo Invest</t>
  </si>
  <si>
    <t>*</t>
  </si>
  <si>
    <t>Notas não existentes no código, ou seja, se colocar peso, não vai ser incrementado na nota final
Calculos são realizados e salvos apenas para acompanhamento, no arquivo "notas_financeiro.csv"</t>
  </si>
  <si>
    <t>Não mexer em nada nessa planilha, além de alterar os valores de B2 a E14. Sempre respeitar a formatação decimal (10% = 0.1)</t>
  </si>
  <si>
    <t>Nota Final</t>
  </si>
  <si>
    <t>Financeiro</t>
  </si>
  <si>
    <t>Qualitativo</t>
  </si>
  <si>
    <t>Fundo de Investimento</t>
  </si>
  <si>
    <t>Quantitativo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</si>
</sst>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2"/>
      <color theme="1"/>
      <name val="Aptos"/>
      <family val="2"/>
    </font>
    <font>
      <sz val="12"/>
      <color rgb="FF000000"/>
      <name val="Aptos"/>
      <family val="2"/>
    </font>
    <font>
      <b/>
      <sz val="12"/>
      <color theme="0"/>
      <name val="Aptos"/>
      <family val="2"/>
    </font>
    <font>
      <sz val="11"/>
      <color theme="0"/>
      <name val="Aptos"/>
      <family val="2"/>
    </font>
    <font>
      <b/>
      <sz val="11"/>
      <color theme="0"/>
      <name val="Aptos"/>
      <family val="2"/>
    </font>
  </fonts>
  <fills count="5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0">
    <xf numFmtId="0" fontId="0" fillId="0" borderId="0" xfId="0"/>
    <xf numFmtId="0" fontId="4" fillId="2" borderId="2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 wrapText="1"/>
    </xf>
    <xf numFmtId="9" fontId="2" fillId="0" borderId="7" xfId="0" applyNumberFormat="1" applyFont="1" applyBorder="1" applyAlignment="1">
      <alignment horizontal="center" vertical="center" wrapText="1"/>
    </xf>
    <xf numFmtId="9" fontId="2" fillId="0" borderId="8" xfId="0" applyNumberFormat="1" applyFont="1" applyBorder="1" applyAlignment="1">
      <alignment horizontal="center" vertical="center" wrapText="1"/>
    </xf>
    <xf numFmtId="0" fontId="4" fillId="2" borderId="9" xfId="0" applyFont="1" applyFill="1" applyBorder="1" applyAlignment="1">
      <alignment horizontal="center" vertical="center" wrapText="1"/>
    </xf>
    <xf numFmtId="9" fontId="2" fillId="0" borderId="6" xfId="0" applyNumberFormat="1" applyFont="1" applyBorder="1" applyAlignment="1">
      <alignment horizontal="center" vertical="center" wrapText="1"/>
    </xf>
    <xf numFmtId="9" fontId="3" fillId="0" borderId="10" xfId="0" applyNumberFormat="1" applyFont="1" applyBorder="1" applyAlignment="1">
      <alignment horizontal="center" vertical="center" wrapText="1"/>
    </xf>
    <xf numFmtId="9" fontId="2" fillId="3" borderId="10" xfId="0" applyNumberFormat="1" applyFont="1" applyFill="1" applyBorder="1" applyAlignment="1">
      <alignment horizontal="center" vertical="center" wrapText="1"/>
    </xf>
    <xf numFmtId="9" fontId="2" fillId="0" borderId="10" xfId="0" applyNumberFormat="1" applyFont="1" applyBorder="1" applyAlignment="1">
      <alignment horizontal="center" vertical="center" wrapText="1"/>
    </xf>
    <xf numFmtId="9" fontId="2" fillId="0" borderId="10" xfId="1" applyFont="1" applyFill="1" applyBorder="1" applyAlignment="1">
      <alignment horizontal="center" vertical="center" wrapText="1"/>
    </xf>
    <xf numFmtId="9" fontId="3" fillId="0" borderId="11" xfId="0" applyNumberFormat="1" applyFont="1" applyBorder="1" applyAlignment="1">
      <alignment horizontal="center" vertical="center" wrapText="1"/>
    </xf>
    <xf numFmtId="9" fontId="3" fillId="0" borderId="12" xfId="0" applyNumberFormat="1" applyFont="1" applyBorder="1" applyAlignment="1">
      <alignment horizontal="center" vertical="center" wrapText="1"/>
    </xf>
    <xf numFmtId="9" fontId="3" fillId="0" borderId="13" xfId="0" applyNumberFormat="1" applyFont="1" applyBorder="1" applyAlignment="1">
      <alignment horizontal="center" vertical="center" wrapText="1"/>
    </xf>
    <xf numFmtId="9" fontId="2" fillId="3" borderId="14" xfId="0" applyNumberFormat="1" applyFont="1" applyFill="1" applyBorder="1" applyAlignment="1">
      <alignment horizontal="center" vertical="center" wrapText="1"/>
    </xf>
    <xf numFmtId="9" fontId="2" fillId="3" borderId="15" xfId="0" applyNumberFormat="1" applyFont="1" applyFill="1" applyBorder="1" applyAlignment="1">
      <alignment horizontal="center" vertical="center" wrapText="1"/>
    </xf>
    <xf numFmtId="9" fontId="3" fillId="0" borderId="14" xfId="0" applyNumberFormat="1" applyFont="1" applyBorder="1" applyAlignment="1">
      <alignment horizontal="center" vertical="center" wrapText="1"/>
    </xf>
    <xf numFmtId="9" fontId="3" fillId="0" borderId="15" xfId="0" applyNumberFormat="1" applyFont="1" applyBorder="1" applyAlignment="1">
      <alignment horizontal="center" vertical="center" wrapText="1"/>
    </xf>
    <xf numFmtId="9" fontId="2" fillId="0" borderId="14" xfId="0" applyNumberFormat="1" applyFont="1" applyBorder="1" applyAlignment="1">
      <alignment horizontal="center" vertical="center" wrapText="1"/>
    </xf>
    <xf numFmtId="9" fontId="2" fillId="0" borderId="15" xfId="0" applyNumberFormat="1" applyFont="1" applyBorder="1" applyAlignment="1">
      <alignment horizontal="center" vertical="center" wrapText="1"/>
    </xf>
    <xf numFmtId="9" fontId="2" fillId="0" borderId="14" xfId="1" applyFont="1" applyFill="1" applyBorder="1" applyAlignment="1">
      <alignment horizontal="center" vertical="center" wrapText="1"/>
    </xf>
    <xf numFmtId="9" fontId="2" fillId="0" borderId="15" xfId="1" applyFont="1" applyFill="1" applyBorder="1" applyAlignment="1">
      <alignment horizontal="center" vertical="center" wrapText="1"/>
    </xf>
    <xf numFmtId="0" fontId="5" fillId="2" borderId="5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9" fontId="2" fillId="4" borderId="14" xfId="0" applyNumberFormat="1" applyFont="1" applyFill="1" applyBorder="1" applyAlignment="1">
      <alignment horizontal="center" vertical="center" wrapText="1"/>
    </xf>
    <xf numFmtId="9" fontId="2" fillId="4" borderId="10" xfId="0" applyNumberFormat="1" applyFont="1" applyFill="1" applyBorder="1" applyAlignment="1">
      <alignment horizontal="center" vertical="center" wrapText="1"/>
    </xf>
    <xf numFmtId="9" fontId="2" fillId="4" borderId="15" xfId="0" applyNumberFormat="1" applyFont="1" applyFill="1" applyBorder="1" applyAlignment="1">
      <alignment horizontal="center" vertical="center" wrapText="1"/>
    </xf>
    <xf numFmtId="9" fontId="2" fillId="4" borderId="16" xfId="0" applyNumberFormat="1" applyFont="1" applyFill="1" applyBorder="1" applyAlignment="1">
      <alignment horizontal="center" vertical="center" wrapText="1"/>
    </xf>
    <xf numFmtId="9" fontId="2" fillId="4" borderId="17" xfId="0" applyNumberFormat="1" applyFont="1" applyFill="1" applyBorder="1" applyAlignment="1">
      <alignment horizontal="center" vertical="center" wrapText="1"/>
    </xf>
    <xf numFmtId="9" fontId="2" fillId="4" borderId="18" xfId="0" applyNumberFormat="1" applyFont="1" applyFill="1" applyBorder="1" applyAlignment="1">
      <alignment horizontal="center" vertical="center" wrapText="1"/>
    </xf>
    <xf numFmtId="0" fontId="0" fillId="4" borderId="0" xfId="0" applyFill="1"/>
    <xf numFmtId="0" fontId="0" fillId="0" borderId="0" xfId="0" applyAlignment="1">
      <alignment wrapText="1"/>
    </xf>
    <xf numFmtId="0" fontId="6" fillId="2" borderId="5" xfId="0" applyFont="1" applyFill="1" applyBorder="1" applyAlignment="1">
      <alignment horizontal="center" vertical="center" wrapText="1"/>
    </xf>
    <xf numFmtId="9" fontId="3" fillId="0" borderId="19" xfId="0" applyNumberFormat="1" applyFont="1" applyBorder="1" applyAlignment="1">
      <alignment horizontal="center" vertical="center" wrapText="1"/>
    </xf>
    <xf numFmtId="9" fontId="3" fillId="0" borderId="20" xfId="0" applyNumberFormat="1" applyFont="1" applyBorder="1" applyAlignment="1">
      <alignment horizontal="center" vertical="center" wrapText="1"/>
    </xf>
    <xf numFmtId="9" fontId="3" fillId="0" borderId="21" xfId="0" applyNumberFormat="1" applyFont="1" applyBorder="1" applyAlignment="1">
      <alignment horizontal="center" vertical="center" wrapText="1"/>
    </xf>
    <xf numFmtId="9" fontId="2" fillId="0" borderId="9" xfId="0" applyNumberFormat="1" applyFont="1" applyBorder="1" applyAlignment="1">
      <alignment horizontal="center" vertical="center" wrapText="1"/>
    </xf>
    <xf numFmtId="9" fontId="2" fillId="0" borderId="22" xfId="0" applyNumberFormat="1" applyFont="1" applyBorder="1" applyAlignment="1">
      <alignment horizontal="center" vertical="center" wrapText="1"/>
    </xf>
    <xf numFmtId="9" fontId="2" fillId="0" borderId="23" xfId="0" applyNumberFormat="1" applyFont="1" applyBorder="1" applyAlignment="1">
      <alignment horizontal="center" vertical="center" wrapText="1"/>
    </xf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45803-4B58-4A54-A38B-1830D653A5CD}">
  <dimension ref="A1:H22"/>
  <sheetViews>
    <sheetView tabSelected="1" topLeftCell="A15" workbookViewId="0">
      <selection activeCell="C25" sqref="C25"/>
    </sheetView>
  </sheetViews>
  <sheetFormatPr defaultRowHeight="15" x14ac:dyDescent="0.25"/>
  <cols>
    <col min="1" max="1" width="19.42578125" customWidth="1"/>
    <col min="2" max="2" width="13.85546875" customWidth="1"/>
    <col min="3" max="3" width="9.7109375" bestFit="1" customWidth="1"/>
    <col min="4" max="4" width="14" bestFit="1" customWidth="1"/>
    <col min="5" max="5" width="14.7109375" bestFit="1" customWidth="1"/>
  </cols>
  <sheetData>
    <row r="1" spans="1:8" ht="28.5" customHeight="1" x14ac:dyDescent="0.25">
      <c r="A1" s="1" t="s">
        <v>0</v>
      </c>
      <c r="B1" s="2" t="s">
        <v>1</v>
      </c>
      <c r="C1" s="2" t="s">
        <v>2</v>
      </c>
      <c r="D1" s="2" t="s">
        <v>3</v>
      </c>
      <c r="E1" s="3" t="s">
        <v>18</v>
      </c>
    </row>
    <row r="2" spans="1:8" ht="28.5" customHeight="1" x14ac:dyDescent="0.25">
      <c r="A2" s="24" t="s">
        <v>4</v>
      </c>
      <c r="B2" s="12">
        <v>0.15</v>
      </c>
      <c r="C2" s="13">
        <v>0.15</v>
      </c>
      <c r="D2" s="13">
        <v>0.1</v>
      </c>
      <c r="E2" s="14">
        <v>0.1</v>
      </c>
      <c r="G2" t="s">
        <v>19</v>
      </c>
      <c r="H2" t="s">
        <v>21</v>
      </c>
    </row>
    <row r="3" spans="1:8" ht="28.5" customHeight="1" x14ac:dyDescent="0.25">
      <c r="A3" s="24" t="s">
        <v>5</v>
      </c>
      <c r="B3" s="15">
        <v>0.05</v>
      </c>
      <c r="C3" s="9">
        <v>0.05</v>
      </c>
      <c r="D3" s="9">
        <v>0.05</v>
      </c>
      <c r="E3" s="16">
        <v>0.1</v>
      </c>
    </row>
    <row r="4" spans="1:8" ht="28.5" customHeight="1" x14ac:dyDescent="0.25">
      <c r="A4" s="24" t="s">
        <v>6</v>
      </c>
      <c r="B4" s="17">
        <v>0.15</v>
      </c>
      <c r="C4" s="8">
        <v>0.2</v>
      </c>
      <c r="D4" s="8">
        <v>0.1</v>
      </c>
      <c r="E4" s="18">
        <v>0.2</v>
      </c>
    </row>
    <row r="5" spans="1:8" ht="28.5" customHeight="1" x14ac:dyDescent="0.25">
      <c r="A5" s="24" t="s">
        <v>7</v>
      </c>
      <c r="B5" s="15">
        <v>0.1</v>
      </c>
      <c r="C5" s="9">
        <v>0.1</v>
      </c>
      <c r="D5" s="9">
        <v>0.1</v>
      </c>
      <c r="E5" s="16">
        <v>0.15</v>
      </c>
    </row>
    <row r="6" spans="1:8" ht="28.5" customHeight="1" x14ac:dyDescent="0.25">
      <c r="A6" s="24" t="s">
        <v>8</v>
      </c>
      <c r="B6" s="17">
        <v>0.1</v>
      </c>
      <c r="C6" s="8">
        <v>0.15</v>
      </c>
      <c r="D6" s="8">
        <v>0.15</v>
      </c>
      <c r="E6" s="18">
        <v>0.05</v>
      </c>
    </row>
    <row r="7" spans="1:8" ht="28.5" customHeight="1" x14ac:dyDescent="0.25">
      <c r="A7" s="24" t="s">
        <v>9</v>
      </c>
      <c r="B7" s="15">
        <v>0.05</v>
      </c>
      <c r="C7" s="9">
        <v>0.1</v>
      </c>
      <c r="D7" s="9">
        <v>0.1</v>
      </c>
      <c r="E7" s="16">
        <v>0.1</v>
      </c>
    </row>
    <row r="8" spans="1:8" ht="28.5" customHeight="1" x14ac:dyDescent="0.25">
      <c r="A8" s="24" t="s">
        <v>10</v>
      </c>
      <c r="B8" s="17">
        <v>0.15</v>
      </c>
      <c r="C8" s="8">
        <v>0.15</v>
      </c>
      <c r="D8" s="8">
        <v>0.15</v>
      </c>
      <c r="E8" s="18">
        <v>0.15</v>
      </c>
    </row>
    <row r="9" spans="1:8" ht="28.5" customHeight="1" x14ac:dyDescent="0.25">
      <c r="A9" s="24" t="s">
        <v>11</v>
      </c>
      <c r="B9" s="15">
        <v>0.05</v>
      </c>
      <c r="C9" s="9">
        <v>0.05</v>
      </c>
      <c r="D9" s="9">
        <v>0.05</v>
      </c>
      <c r="E9" s="16">
        <v>0.05</v>
      </c>
    </row>
    <row r="10" spans="1:8" ht="28.5" customHeight="1" x14ac:dyDescent="0.25">
      <c r="A10" s="24" t="s">
        <v>12</v>
      </c>
      <c r="B10" s="19">
        <v>0.05</v>
      </c>
      <c r="C10" s="10">
        <v>0</v>
      </c>
      <c r="D10" s="10">
        <v>0.05</v>
      </c>
      <c r="E10" s="20">
        <v>0</v>
      </c>
    </row>
    <row r="11" spans="1:8" ht="28.5" customHeight="1" x14ac:dyDescent="0.25">
      <c r="A11" s="24" t="s">
        <v>13</v>
      </c>
      <c r="B11" s="15">
        <v>0.05</v>
      </c>
      <c r="C11" s="9">
        <v>0</v>
      </c>
      <c r="D11" s="9">
        <v>0.05</v>
      </c>
      <c r="E11" s="16">
        <v>0</v>
      </c>
    </row>
    <row r="12" spans="1:8" ht="28.5" customHeight="1" x14ac:dyDescent="0.25">
      <c r="A12" s="24" t="s">
        <v>14</v>
      </c>
      <c r="B12" s="21">
        <v>0.1</v>
      </c>
      <c r="C12" s="8">
        <v>0.05</v>
      </c>
      <c r="D12" s="11">
        <v>0.1</v>
      </c>
      <c r="E12" s="22">
        <v>0.1</v>
      </c>
    </row>
    <row r="13" spans="1:8" ht="28.5" customHeight="1" x14ac:dyDescent="0.25">
      <c r="A13" s="24" t="s">
        <v>15</v>
      </c>
      <c r="B13" s="25">
        <v>0</v>
      </c>
      <c r="C13" s="26">
        <v>0</v>
      </c>
      <c r="D13" s="26">
        <v>0</v>
      </c>
      <c r="E13" s="27">
        <v>0</v>
      </c>
      <c r="G13" s="31" t="s">
        <v>19</v>
      </c>
      <c r="H13" s="32" t="s">
        <v>20</v>
      </c>
    </row>
    <row r="14" spans="1:8" ht="28.5" customHeight="1" x14ac:dyDescent="0.25">
      <c r="A14" s="23" t="s">
        <v>16</v>
      </c>
      <c r="B14" s="28">
        <v>0</v>
      </c>
      <c r="C14" s="29">
        <v>0</v>
      </c>
      <c r="D14" s="29">
        <v>0</v>
      </c>
      <c r="E14" s="30">
        <v>0</v>
      </c>
      <c r="G14" s="31" t="s">
        <v>19</v>
      </c>
    </row>
    <row r="15" spans="1:8" ht="28.5" customHeight="1" x14ac:dyDescent="0.25">
      <c r="A15" s="6" t="s">
        <v>17</v>
      </c>
      <c r="B15" s="7">
        <f>SUM(B2:B14)</f>
        <v>1.0000000000000002</v>
      </c>
      <c r="C15" s="4">
        <f t="shared" ref="C15:E15" si="0">SUM(C2:C14)</f>
        <v>1</v>
      </c>
      <c r="D15" s="4">
        <f t="shared" si="0"/>
        <v>1.0000000000000002</v>
      </c>
      <c r="E15" s="5">
        <f t="shared" si="0"/>
        <v>1.0000000000000002</v>
      </c>
    </row>
    <row r="18" spans="1:5" ht="30" x14ac:dyDescent="0.25">
      <c r="A18" s="33" t="s">
        <v>22</v>
      </c>
      <c r="B18" s="33" t="s">
        <v>1</v>
      </c>
      <c r="C18" s="33" t="s">
        <v>2</v>
      </c>
      <c r="D18" s="33" t="s">
        <v>3</v>
      </c>
      <c r="E18" s="33" t="s">
        <v>25</v>
      </c>
    </row>
    <row r="19" spans="1:5" ht="20.25" customHeight="1" x14ac:dyDescent="0.25">
      <c r="A19" s="24" t="s">
        <v>23</v>
      </c>
      <c r="B19" s="12">
        <v>0.5</v>
      </c>
      <c r="C19" s="13">
        <v>0.6</v>
      </c>
      <c r="D19" s="13">
        <v>0.8</v>
      </c>
      <c r="E19" s="14">
        <v>0.8</v>
      </c>
    </row>
    <row r="20" spans="1:5" ht="20.25" customHeight="1" x14ac:dyDescent="0.25">
      <c r="A20" s="24" t="s">
        <v>24</v>
      </c>
      <c r="B20" s="15">
        <v>0.25</v>
      </c>
      <c r="C20" s="9">
        <v>0.2</v>
      </c>
      <c r="D20" s="9">
        <v>0</v>
      </c>
      <c r="E20" s="16">
        <v>0.2</v>
      </c>
    </row>
    <row r="21" spans="1:5" ht="20.25" customHeight="1" x14ac:dyDescent="0.25">
      <c r="A21" s="24" t="s">
        <v>26</v>
      </c>
      <c r="B21" s="34">
        <v>0.25</v>
      </c>
      <c r="C21" s="35">
        <v>0.2</v>
      </c>
      <c r="D21" s="35">
        <v>0.2</v>
      </c>
      <c r="E21" s="36">
        <v>0</v>
      </c>
    </row>
    <row r="22" spans="1:5" ht="20.25" customHeight="1" x14ac:dyDescent="0.25">
      <c r="A22" s="6" t="s">
        <v>17</v>
      </c>
      <c r="B22" s="37">
        <f>SUM(B19:B21)</f>
        <v>1</v>
      </c>
      <c r="C22" s="38">
        <f t="shared" ref="C22:E22" si="1">SUM(C19:C21)</f>
        <v>1</v>
      </c>
      <c r="D22" s="38">
        <f t="shared" si="1"/>
        <v>1</v>
      </c>
      <c r="E22" s="39">
        <f t="shared" si="1"/>
        <v>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Luis Girardi</dc:creator>
  <cp:lastModifiedBy>Felipe Luis Girardi</cp:lastModifiedBy>
  <dcterms:created xsi:type="dcterms:W3CDTF">2025-08-06T18:52:32Z</dcterms:created>
  <dcterms:modified xsi:type="dcterms:W3CDTF">2025-08-08T17:25:13Z</dcterms:modified>
</cp:coreProperties>
</file>