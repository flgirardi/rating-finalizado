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defaultThemeVersion="202300"/>
  <mc:AlternateContent xmlns:mc="http://schemas.openxmlformats.org/markup-compatibility/2006">
    <mc:Choice Requires="x15">
      <x15ac:absPath xmlns:x15ac="http://schemas.microsoft.com/office/spreadsheetml/2010/11/ac" url="U:\RBE\_PÚBLICO (Apenas trocas de arquivos)\Rating - Shared\"/>
    </mc:Choice>
  </mc:AlternateContent>
  <xr:revisionPtr revIDLastSave="0" documentId="8_{102C9A6D-B065-4DAE-84C8-73F6E767FD76}" xr6:coauthVersionLast="47" xr6:coauthVersionMax="47" xr10:uidLastSave="{00000000-0000-0000-0000-000000000000}"/>
  <bookViews>
    <workbookView xWindow="-120" yWindow="-120" windowWidth="29040" windowHeight="15840" activeTab="1" xr2:uid="{0CAD9652-9399-4794-97C4-1FEFA9BCB6C2}"/>
  </bookViews>
  <sheets>
    <sheet name="db" sheetId="2" r:id="rId1"/>
    <sheet name="Planilha1" sheetId="1" r:id="rId2"/>
  </sheets>
  <definedNames>
    <definedName name="DadosExternos_1" localSheetId="0" hidden="1">db!$A$1:$AZ$3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1" l="1"/>
  <c r="B28" i="1"/>
  <c r="B26" i="1"/>
  <c r="B24" i="1"/>
  <c r="B22" i="1"/>
  <c r="B20" i="1"/>
  <c r="B12" i="1"/>
  <c r="B10" i="1"/>
  <c r="B18" i="1" s="1"/>
  <c r="B8" i="1"/>
  <c r="B6" i="1"/>
  <c r="B16" i="1" l="1"/>
  <c r="B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376BC4-642F-4FB8-9017-3884B1696A7C}" keepAlive="1" name="Consulta - db" description="Conexão com a consulta 'db' na pasta de trabalho." type="5" refreshedVersion="8" background="1" saveData="1">
    <dbPr connection="Provider=Microsoft.Mashup.OleDb.1;Data Source=$Workbook$;Location=db;Extended Properties=&quot;&quot;" command="SELECT * FROM [db]"/>
  </connection>
</connections>
</file>

<file path=xl/sharedStrings.xml><?xml version="1.0" encoding="utf-8"?>
<sst xmlns="http://schemas.openxmlformats.org/spreadsheetml/2006/main" count="186" uniqueCount="96">
  <si>
    <t>Razão Social</t>
  </si>
  <si>
    <t>CNPJ</t>
  </si>
  <si>
    <t>Nome Fantasia</t>
  </si>
  <si>
    <t>Ano_edit</t>
  </si>
  <si>
    <t>Rating Externo</t>
  </si>
  <si>
    <t>Empresa Publicadora</t>
  </si>
  <si>
    <t>INFO</t>
  </si>
  <si>
    <t>Ativo Circulante</t>
  </si>
  <si>
    <t>Caixa e Equivalente de caixa</t>
  </si>
  <si>
    <t>Clientes</t>
  </si>
  <si>
    <t>Estoques</t>
  </si>
  <si>
    <t>Outras Contas Receber CP</t>
  </si>
  <si>
    <t>Ativo Não Circulante</t>
  </si>
  <si>
    <t>Imobilizado e Investimentos</t>
  </si>
  <si>
    <t>Outras Contas Receber LP</t>
  </si>
  <si>
    <t>Passivo Circulante</t>
  </si>
  <si>
    <t>Empréstimos CP</t>
  </si>
  <si>
    <t>Fornecedores</t>
  </si>
  <si>
    <t>Obrigações Trabalhistas</t>
  </si>
  <si>
    <t>Obrigações Fiscais</t>
  </si>
  <si>
    <t>Outras Obrigações CP</t>
  </si>
  <si>
    <t>Passivo Não Circulante</t>
  </si>
  <si>
    <t>Empréstimos LP</t>
  </si>
  <si>
    <t>Outras Obrigações LP</t>
  </si>
  <si>
    <t>Patrimônio Líquido</t>
  </si>
  <si>
    <t>Capital Social</t>
  </si>
  <si>
    <t>Reserva de Lucros</t>
  </si>
  <si>
    <t>Outros Itens do PL</t>
  </si>
  <si>
    <t>Receita Bruta</t>
  </si>
  <si>
    <t>Deduções das Receitas</t>
  </si>
  <si>
    <t>Receita Operacional Líquida(ROL)</t>
  </si>
  <si>
    <t>CPV</t>
  </si>
  <si>
    <t>Valor Justo Contratos Futuros</t>
  </si>
  <si>
    <t>Despesas Operacionais</t>
  </si>
  <si>
    <t>Resultado Financeiro</t>
  </si>
  <si>
    <t>IR+CSLL</t>
  </si>
  <si>
    <t>Lucro Líquido</t>
  </si>
  <si>
    <t>Auditoria</t>
  </si>
  <si>
    <t>Grupo Econômico</t>
  </si>
  <si>
    <t>Observação</t>
  </si>
  <si>
    <t>Atuação Empresa</t>
  </si>
  <si>
    <t>Data Contrato Social</t>
  </si>
  <si>
    <t>Tipo Governança</t>
  </si>
  <si>
    <t>Experiência Trading e Middle</t>
  </si>
  <si>
    <t>Gestor Cliente</t>
  </si>
  <si>
    <t>Sede</t>
  </si>
  <si>
    <t>Setor</t>
  </si>
  <si>
    <t>Controle Acionário</t>
  </si>
  <si>
    <t>Tipo (Perfil Empresa)</t>
  </si>
  <si>
    <t>Data Atualização</t>
  </si>
  <si>
    <t>Unidade</t>
  </si>
  <si>
    <t>status</t>
  </si>
  <si>
    <t>GRID ENERGIA COMERCIALIAZADORA LTDA</t>
  </si>
  <si>
    <t>32.618.447/0001-15</t>
  </si>
  <si>
    <t>GRID ENERGIA</t>
  </si>
  <si>
    <t>2024</t>
  </si>
  <si>
    <t>N/C</t>
  </si>
  <si>
    <t/>
  </si>
  <si>
    <t>PWC</t>
  </si>
  <si>
    <t>Trading pura</t>
  </si>
  <si>
    <t>31/01/2019</t>
  </si>
  <si>
    <t>Limitada</t>
  </si>
  <si>
    <t>Pleno</t>
  </si>
  <si>
    <t>RBE</t>
  </si>
  <si>
    <t>MG</t>
  </si>
  <si>
    <t>Energia</t>
  </si>
  <si>
    <t>Privado</t>
  </si>
  <si>
    <t>Trading</t>
  </si>
  <si>
    <t>30/07/2025 13:16:05</t>
  </si>
  <si>
    <t>Milhares (R$)</t>
  </si>
  <si>
    <t>ativa</t>
  </si>
  <si>
    <t>RBE GESTAO ESTRATEGICA DE ENERGIA LTDA</t>
  </si>
  <si>
    <t>13.338.734/0001-27</t>
  </si>
  <si>
    <t>KPMG</t>
  </si>
  <si>
    <t>H CARLOS SCHNEIDER</t>
  </si>
  <si>
    <t>Trading c/ gestão</t>
  </si>
  <si>
    <t>04/03/2011</t>
  </si>
  <si>
    <t>Especialistas</t>
  </si>
  <si>
    <t>SC</t>
  </si>
  <si>
    <t>08/08/2025 11:33:28</t>
  </si>
  <si>
    <t>Bruto</t>
  </si>
  <si>
    <t>Liquidez Corrente</t>
  </si>
  <si>
    <t>Liquidez Geral</t>
  </si>
  <si>
    <t>Patrimonio Liquido</t>
  </si>
  <si>
    <t>Liquidez Seca</t>
  </si>
  <si>
    <t>Endividamento 3ºs</t>
  </si>
  <si>
    <t>Termometro Insolvencia</t>
  </si>
  <si>
    <t>GRO</t>
  </si>
  <si>
    <t>Caixa e Equivalentes</t>
  </si>
  <si>
    <t>PMP</t>
  </si>
  <si>
    <t>PMR</t>
  </si>
  <si>
    <t>Alavancagem EBITDA</t>
  </si>
  <si>
    <t>Notas (preencher)</t>
  </si>
  <si>
    <t>Pesos</t>
  </si>
  <si>
    <t>Nota Financeiro</t>
  </si>
  <si>
    <t>*abs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</si>
</sst>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/>
    </xf>
    <xf numFmtId="9" fontId="0" fillId="0" borderId="0" xfId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2">
    <cellStyle name="Normal" xfId="0" builtinId="0"/>
    <cellStyle name="Porcentagem" xfId="1" builtinId="5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8FBEB103-0D41-4932-8C93-3204B77D89EC}" autoFormatId="16" applyNumberFormats="0" applyBorderFormats="0" applyFontFormats="0" applyPatternFormats="0" applyAlignmentFormats="0" applyWidthHeightFormats="0">
  <queryTableRefresh nextId="53">
    <queryTableFields count="52">
      <queryTableField id="1" name="Razão Social" tableColumnId="1"/>
      <queryTableField id="2" name="CNPJ" tableColumnId="2"/>
      <queryTableField id="3" name="Nome Fantasia" tableColumnId="3"/>
      <queryTableField id="4" name="Ano_edit" tableColumnId="4"/>
      <queryTableField id="5" name="Rating Externo" tableColumnId="5"/>
      <queryTableField id="6" name="Empresa Publicadora" tableColumnId="6"/>
      <queryTableField id="7" name="INFO" tableColumnId="7"/>
      <queryTableField id="8" name="Ativo Circulante" tableColumnId="8"/>
      <queryTableField id="9" name="Caixa e Equivalente de caixa" tableColumnId="9"/>
      <queryTableField id="10" name="Clientes" tableColumnId="10"/>
      <queryTableField id="11" name="Estoques" tableColumnId="11"/>
      <queryTableField id="12" name="Outras Contas Receber CP" tableColumnId="12"/>
      <queryTableField id="13" name="Ativo Não Circulante" tableColumnId="13"/>
      <queryTableField id="14" name="Imobilizado e Investimentos" tableColumnId="14"/>
      <queryTableField id="15" name="Outras Contas Receber LP" tableColumnId="15"/>
      <queryTableField id="16" name="Passivo Circulante" tableColumnId="16"/>
      <queryTableField id="17" name="Empréstimos CP" tableColumnId="17"/>
      <queryTableField id="18" name="Fornecedores" tableColumnId="18"/>
      <queryTableField id="19" name="Obrigações Trabalhistas" tableColumnId="19"/>
      <queryTableField id="20" name="Obrigações Fiscais" tableColumnId="20"/>
      <queryTableField id="21" name="Outras Obrigações CP" tableColumnId="21"/>
      <queryTableField id="22" name="Passivo Não Circulante" tableColumnId="22"/>
      <queryTableField id="23" name="Empréstimos LP" tableColumnId="23"/>
      <queryTableField id="24" name="Outras Obrigações LP" tableColumnId="24"/>
      <queryTableField id="25" name="Patrimônio Líquido" tableColumnId="25"/>
      <queryTableField id="26" name="Capital Social" tableColumnId="26"/>
      <queryTableField id="27" name="Reserva de Lucros" tableColumnId="27"/>
      <queryTableField id="28" name="Outros Itens do PL" tableColumnId="28"/>
      <queryTableField id="29" name="Receita Bruta" tableColumnId="29"/>
      <queryTableField id="30" name="Deduções das Receitas" tableColumnId="30"/>
      <queryTableField id="31" name="Receita Operacional Líquida(ROL)" tableColumnId="31"/>
      <queryTableField id="32" name="CPV" tableColumnId="32"/>
      <queryTableField id="33" name="Valor Justo Contratos Futuros" tableColumnId="33"/>
      <queryTableField id="34" name="Despesas Operacionais" tableColumnId="34"/>
      <queryTableField id="35" name="Resultado Financeiro" tableColumnId="35"/>
      <queryTableField id="36" name="IR+CSLL" tableColumnId="36"/>
      <queryTableField id="37" name="Lucro Líquido" tableColumnId="37"/>
      <queryTableField id="38" name="Auditoria" tableColumnId="38"/>
      <queryTableField id="39" name="Grupo Econômico" tableColumnId="39"/>
      <queryTableField id="40" name="Observação" tableColumnId="40"/>
      <queryTableField id="41" name="Atuação Empresa" tableColumnId="41"/>
      <queryTableField id="42" name="Data Contrato Social" tableColumnId="42"/>
      <queryTableField id="43" name="Tipo Governança" tableColumnId="43"/>
      <queryTableField id="44" name="Experiência Trading e Middle" tableColumnId="44"/>
      <queryTableField id="45" name="Gestor Cliente" tableColumnId="45"/>
      <queryTableField id="46" name="Sede" tableColumnId="46"/>
      <queryTableField id="47" name="Setor" tableColumnId="47"/>
      <queryTableField id="48" name="Controle Acionário" tableColumnId="48"/>
      <queryTableField id="49" name="Tipo (Perfil Empresa)" tableColumnId="49"/>
      <queryTableField id="50" name="Data Atualização" tableColumnId="50"/>
      <queryTableField id="51" name="Unidade" tableColumnId="51"/>
      <queryTableField id="52" name="status" tableColumnId="5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0DF599-0BAA-4435-B28E-F9DA69CC4E2E}" name="db" displayName="db" ref="A1:AZ3" tableType="queryTable" totalsRowShown="0">
  <autoFilter ref="A1:AZ3" xr:uid="{130DF599-0BAA-4435-B28E-F9DA69CC4E2E}"/>
  <tableColumns count="52">
    <tableColumn id="1" xr3:uid="{6B305B1E-109C-4F5F-8DD3-42B267340A0E}" uniqueName="1" name="Razão Social" queryTableFieldId="1" dataDxfId="21"/>
    <tableColumn id="2" xr3:uid="{75AE4AB1-F938-4305-BACC-16860269CB99}" uniqueName="2" name="CNPJ" queryTableFieldId="2" dataDxfId="20"/>
    <tableColumn id="3" xr3:uid="{F7DBE6AF-FA16-4B56-88E3-BF9F67238012}" uniqueName="3" name="Nome Fantasia" queryTableFieldId="3" dataDxfId="19"/>
    <tableColumn id="4" xr3:uid="{069396B7-EB10-47ED-AD11-8A0D2EB6204C}" uniqueName="4" name="Ano_edit" queryTableFieldId="4" dataDxfId="18"/>
    <tableColumn id="5" xr3:uid="{9946F3D7-5662-4B30-B0F8-9C30238475EA}" uniqueName="5" name="Rating Externo" queryTableFieldId="5" dataDxfId="17"/>
    <tableColumn id="6" xr3:uid="{6BF9D1F4-05A4-4506-885D-4469BA374E54}" uniqueName="6" name="Empresa Publicadora" queryTableFieldId="6" dataDxfId="16"/>
    <tableColumn id="7" xr3:uid="{FD5116F2-9595-416A-BD78-98FA0F9BA848}" uniqueName="7" name="INFO" queryTableFieldId="7" dataDxfId="15"/>
    <tableColumn id="8" xr3:uid="{F2C8EDAB-A5DB-4C28-95F9-B9CCA847F831}" uniqueName="8" name="Ativo Circulante" queryTableFieldId="8"/>
    <tableColumn id="9" xr3:uid="{4926CF42-9F83-49F7-9E63-93C2B528785A}" uniqueName="9" name="Caixa e Equivalente de caixa" queryTableFieldId="9"/>
    <tableColumn id="10" xr3:uid="{A4FD3D03-69B9-4D7D-A2DA-A8DDFE4AA51F}" uniqueName="10" name="Clientes" queryTableFieldId="10"/>
    <tableColumn id="11" xr3:uid="{ACF4F3D1-0116-48C3-9189-215F77A0AC5C}" uniqueName="11" name="Estoques" queryTableFieldId="11"/>
    <tableColumn id="12" xr3:uid="{D9172692-EAA7-4DF9-9733-86244741D8B0}" uniqueName="12" name="Outras Contas Receber CP" queryTableFieldId="12"/>
    <tableColumn id="13" xr3:uid="{277F8B7F-4C8F-49AB-8C46-118D48997A3D}" uniqueName="13" name="Ativo Não Circulante" queryTableFieldId="13"/>
    <tableColumn id="14" xr3:uid="{EC0044A5-32E0-43FD-9236-7C300CDD1077}" uniqueName="14" name="Imobilizado e Investimentos" queryTableFieldId="14"/>
    <tableColumn id="15" xr3:uid="{B972C4FF-C411-489A-975D-822FAAEEB5A7}" uniqueName="15" name="Outras Contas Receber LP" queryTableFieldId="15"/>
    <tableColumn id="16" xr3:uid="{7969FBAB-5F62-47BD-A270-6011B6CFE2EF}" uniqueName="16" name="Passivo Circulante" queryTableFieldId="16"/>
    <tableColumn id="17" xr3:uid="{4E18063F-81E9-46BB-9A12-FBFE93D54173}" uniqueName="17" name="Empréstimos CP" queryTableFieldId="17"/>
    <tableColumn id="18" xr3:uid="{776D4AE2-3777-49C6-9FA2-E4351CBF46D9}" uniqueName="18" name="Fornecedores" queryTableFieldId="18"/>
    <tableColumn id="19" xr3:uid="{23F3280F-E4D4-4698-AAAA-D4EB5D4C804B}" uniqueName="19" name="Obrigações Trabalhistas" queryTableFieldId="19"/>
    <tableColumn id="20" xr3:uid="{8C9B2B58-9C02-48E0-A46C-46B2A62EF694}" uniqueName="20" name="Obrigações Fiscais" queryTableFieldId="20"/>
    <tableColumn id="21" xr3:uid="{F3398AA9-1023-48A6-9BD0-ECCCB744B788}" uniqueName="21" name="Outras Obrigações CP" queryTableFieldId="21"/>
    <tableColumn id="22" xr3:uid="{6FB7F42C-12DF-44EA-B058-36F374C54E12}" uniqueName="22" name="Passivo Não Circulante" queryTableFieldId="22"/>
    <tableColumn id="23" xr3:uid="{0E27E705-6078-435E-BF8F-3D23B0C117A0}" uniqueName="23" name="Empréstimos LP" queryTableFieldId="23"/>
    <tableColumn id="24" xr3:uid="{D891B051-56AF-4CD9-9CD3-2E292DFA2F2C}" uniqueName="24" name="Outras Obrigações LP" queryTableFieldId="24"/>
    <tableColumn id="25" xr3:uid="{574C0C12-F783-4FE8-B54D-1B368721E101}" uniqueName="25" name="Patrimônio Líquido" queryTableFieldId="25"/>
    <tableColumn id="26" xr3:uid="{F3FFFB22-9E8F-4884-B169-4C64F0922C54}" uniqueName="26" name="Capital Social" queryTableFieldId="26"/>
    <tableColumn id="27" xr3:uid="{431FDC09-4064-4379-9E70-339ECB145BFF}" uniqueName="27" name="Reserva de Lucros" queryTableFieldId="27"/>
    <tableColumn id="28" xr3:uid="{3D750042-7411-44C8-A0B0-DD866270C7DF}" uniqueName="28" name="Outros Itens do PL" queryTableFieldId="28"/>
    <tableColumn id="29" xr3:uid="{6E074CE7-2E40-4FE4-ABAE-2ADB4014D33E}" uniqueName="29" name="Receita Bruta" queryTableFieldId="29"/>
    <tableColumn id="30" xr3:uid="{FB1E7354-BF80-48A1-B799-E5A3D2740B17}" uniqueName="30" name="Deduções das Receitas" queryTableFieldId="30"/>
    <tableColumn id="31" xr3:uid="{156D82E5-6EC7-4444-A683-E03BE7EA0EA6}" uniqueName="31" name="Receita Operacional Líquida(ROL)" queryTableFieldId="31"/>
    <tableColumn id="32" xr3:uid="{94AC39B7-EAE5-4DCF-840D-4C6B88213951}" uniqueName="32" name="CPV" queryTableFieldId="32"/>
    <tableColumn id="33" xr3:uid="{58222D92-7B8F-4FBC-89F5-7544A03F8002}" uniqueName="33" name="Valor Justo Contratos Futuros" queryTableFieldId="33"/>
    <tableColumn id="34" xr3:uid="{8E038AEC-145C-47F7-8A43-652D83AB0EA3}" uniqueName="34" name="Despesas Operacionais" queryTableFieldId="34"/>
    <tableColumn id="35" xr3:uid="{C7D93994-6569-4B4E-945A-50CC8D19B6BF}" uniqueName="35" name="Resultado Financeiro" queryTableFieldId="35"/>
    <tableColumn id="36" xr3:uid="{FA43C524-12F5-40CB-B99E-582BF43CAC81}" uniqueName="36" name="IR+CSLL" queryTableFieldId="36"/>
    <tableColumn id="37" xr3:uid="{41A3DBE9-24D7-4A2F-856E-5E5677FC710C}" uniqueName="37" name="Lucro Líquido" queryTableFieldId="37"/>
    <tableColumn id="38" xr3:uid="{FEC82DED-3F78-4389-8205-F4255FFF4E1F}" uniqueName="38" name="Auditoria" queryTableFieldId="38" dataDxfId="14"/>
    <tableColumn id="39" xr3:uid="{D10119D3-891D-409E-ABD6-28467D3D0D01}" uniqueName="39" name="Grupo Econômico" queryTableFieldId="39" dataDxfId="13"/>
    <tableColumn id="40" xr3:uid="{2A58FEC6-34C1-47EB-86BA-12D03AE66C83}" uniqueName="40" name="Observação" queryTableFieldId="40" dataDxfId="12"/>
    <tableColumn id="41" xr3:uid="{63AB12A3-7FB4-4903-B842-E7B23E95BC44}" uniqueName="41" name="Atuação Empresa" queryTableFieldId="41" dataDxfId="11"/>
    <tableColumn id="42" xr3:uid="{D051F51A-332D-46A6-A9BB-B7AD9F7EFBAF}" uniqueName="42" name="Data Contrato Social" queryTableFieldId="42" dataDxfId="10"/>
    <tableColumn id="43" xr3:uid="{5D86C215-9A4B-4FAC-9070-D9513D180F76}" uniqueName="43" name="Tipo Governança" queryTableFieldId="43" dataDxfId="9"/>
    <tableColumn id="44" xr3:uid="{3B7A48BE-D55A-4B18-AA48-2CE655C2AED4}" uniqueName="44" name="Experiência Trading e Middle" queryTableFieldId="44" dataDxfId="8"/>
    <tableColumn id="45" xr3:uid="{06B728D6-A0B1-4F8A-9842-72FE70A351A2}" uniqueName="45" name="Gestor Cliente" queryTableFieldId="45" dataDxfId="7"/>
    <tableColumn id="46" xr3:uid="{C6F7F92C-2727-49C4-A6F9-65EB422A230F}" uniqueName="46" name="Sede" queryTableFieldId="46" dataDxfId="6"/>
    <tableColumn id="47" xr3:uid="{00EF4EDA-2402-41EA-9A7C-210E9E77DFEA}" uniqueName="47" name="Setor" queryTableFieldId="47" dataDxfId="5"/>
    <tableColumn id="48" xr3:uid="{3C90A528-D353-49D8-BE6F-96DA47A5E340}" uniqueName="48" name="Controle Acionário" queryTableFieldId="48" dataDxfId="4"/>
    <tableColumn id="49" xr3:uid="{7E6B90F4-82D0-43FA-8D4D-A4F9DAC50127}" uniqueName="49" name="Tipo (Perfil Empresa)" queryTableFieldId="49" dataDxfId="3"/>
    <tableColumn id="50" xr3:uid="{FF328B98-0B7E-4B03-94AD-BDF5700E2635}" uniqueName="50" name="Data Atualização" queryTableFieldId="50" dataDxfId="2"/>
    <tableColumn id="51" xr3:uid="{DCB7BBEF-8C5E-4B98-B3B1-E1C9EFFC511F}" uniqueName="51" name="Unidade" queryTableFieldId="51" dataDxfId="1"/>
    <tableColumn id="52" xr3:uid="{BEDB4DAA-2A32-409B-8C16-6CB85CA3A3A6}" uniqueName="52" name="status" queryTableFieldId="5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F12A0-AA8A-4EB5-B2B8-4653EE756B3E}">
  <dimension ref="A1:AZ3"/>
  <sheetViews>
    <sheetView workbookViewId="0">
      <selection activeCell="A3" sqref="A3:XFD3"/>
    </sheetView>
  </sheetViews>
  <sheetFormatPr defaultRowHeight="15" x14ac:dyDescent="0.25"/>
  <cols>
    <col min="1" max="1" width="39.85546875" bestFit="1" customWidth="1"/>
    <col min="2" max="2" width="17.85546875" bestFit="1" customWidth="1"/>
    <col min="3" max="3" width="16.7109375" bestFit="1" customWidth="1"/>
    <col min="4" max="4" width="11.140625" bestFit="1" customWidth="1"/>
    <col min="5" max="5" width="16.5703125" bestFit="1" customWidth="1"/>
    <col min="6" max="6" width="22.42578125" bestFit="1" customWidth="1"/>
    <col min="7" max="7" width="7.7109375" bestFit="1" customWidth="1"/>
    <col min="8" max="8" width="17.85546875" bestFit="1" customWidth="1"/>
    <col min="9" max="9" width="29.28515625" bestFit="1" customWidth="1"/>
    <col min="10" max="10" width="11" bestFit="1" customWidth="1"/>
    <col min="11" max="11" width="11.7109375" bestFit="1" customWidth="1"/>
    <col min="12" max="12" width="27.5703125" bestFit="1" customWidth="1"/>
    <col min="13" max="13" width="22" bestFit="1" customWidth="1"/>
    <col min="14" max="14" width="29.28515625" bestFit="1" customWidth="1"/>
    <col min="15" max="15" width="27.140625" bestFit="1" customWidth="1"/>
    <col min="16" max="16" width="20.28515625" bestFit="1" customWidth="1"/>
    <col min="17" max="17" width="18.42578125" bestFit="1" customWidth="1"/>
    <col min="18" max="18" width="15.85546875" bestFit="1" customWidth="1"/>
    <col min="19" max="19" width="25.140625" bestFit="1" customWidth="1"/>
    <col min="20" max="20" width="20.28515625" bestFit="1" customWidth="1"/>
    <col min="21" max="21" width="23.140625" bestFit="1" customWidth="1"/>
    <col min="22" max="22" width="24.42578125" bestFit="1" customWidth="1"/>
    <col min="23" max="23" width="18" bestFit="1" customWidth="1"/>
    <col min="24" max="24" width="22.7109375" bestFit="1" customWidth="1"/>
    <col min="25" max="25" width="20.5703125" bestFit="1" customWidth="1"/>
    <col min="26" max="26" width="15.7109375" bestFit="1" customWidth="1"/>
    <col min="27" max="28" width="20" bestFit="1" customWidth="1"/>
    <col min="29" max="29" width="15.42578125" bestFit="1" customWidth="1"/>
    <col min="30" max="30" width="24.7109375" bestFit="1" customWidth="1"/>
    <col min="31" max="31" width="34.28515625" bestFit="1" customWidth="1"/>
    <col min="32" max="32" width="10.7109375" bestFit="1" customWidth="1"/>
    <col min="33" max="33" width="30.28515625" bestFit="1" customWidth="1"/>
    <col min="34" max="34" width="24.85546875" bestFit="1" customWidth="1"/>
    <col min="35" max="35" width="22.5703125" bestFit="1" customWidth="1"/>
    <col min="36" max="36" width="10.7109375" bestFit="1" customWidth="1"/>
    <col min="37" max="37" width="15.5703125" bestFit="1" customWidth="1"/>
    <col min="38" max="38" width="11.42578125" bestFit="1" customWidth="1"/>
    <col min="39" max="39" width="20" bestFit="1" customWidth="1"/>
    <col min="40" max="40" width="13.85546875" bestFit="1" customWidth="1"/>
    <col min="41" max="41" width="18.85546875" bestFit="1" customWidth="1"/>
    <col min="42" max="42" width="22" bestFit="1" customWidth="1"/>
    <col min="43" max="43" width="18.42578125" bestFit="1" customWidth="1"/>
    <col min="44" max="44" width="29.5703125" bestFit="1" customWidth="1"/>
    <col min="45" max="45" width="16.7109375" bestFit="1" customWidth="1"/>
    <col min="46" max="46" width="7.85546875" bestFit="1" customWidth="1"/>
    <col min="47" max="47" width="8.140625" bestFit="1" customWidth="1"/>
    <col min="48" max="48" width="20.42578125" bestFit="1" customWidth="1"/>
    <col min="49" max="49" width="22.42578125" bestFit="1" customWidth="1"/>
    <col min="50" max="50" width="18.28515625" bestFit="1" customWidth="1"/>
    <col min="51" max="51" width="12.7109375" bestFit="1" customWidth="1"/>
    <col min="52" max="52" width="8.85546875" bestFit="1" customWidth="1"/>
  </cols>
  <sheetData>
    <row r="1" spans="1:5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</row>
    <row r="2" spans="1:52" x14ac:dyDescent="0.25">
      <c r="A2" s="1" t="s">
        <v>52</v>
      </c>
      <c r="B2" s="1" t="s">
        <v>53</v>
      </c>
      <c r="C2" s="1" t="s">
        <v>54</v>
      </c>
      <c r="D2" s="1" t="s">
        <v>55</v>
      </c>
      <c r="E2" s="1" t="s">
        <v>56</v>
      </c>
      <c r="F2" s="1" t="s">
        <v>56</v>
      </c>
      <c r="G2" s="1" t="s">
        <v>57</v>
      </c>
      <c r="H2">
        <v>71097000</v>
      </c>
      <c r="I2">
        <v>19407000</v>
      </c>
      <c r="J2">
        <v>32821000</v>
      </c>
      <c r="K2">
        <v>0</v>
      </c>
      <c r="L2">
        <v>18869000</v>
      </c>
      <c r="M2">
        <v>30749000</v>
      </c>
      <c r="N2">
        <v>6606000</v>
      </c>
      <c r="O2">
        <v>24143000</v>
      </c>
      <c r="P2">
        <v>41567000</v>
      </c>
      <c r="Q2">
        <v>2703000</v>
      </c>
      <c r="R2">
        <v>29751000</v>
      </c>
      <c r="S2">
        <v>509000</v>
      </c>
      <c r="T2">
        <v>5309000</v>
      </c>
      <c r="U2">
        <v>3295000</v>
      </c>
      <c r="V2">
        <v>24067000</v>
      </c>
      <c r="W2">
        <v>3660000</v>
      </c>
      <c r="X2">
        <v>20407000</v>
      </c>
      <c r="Y2">
        <v>36212000</v>
      </c>
      <c r="Z2">
        <v>20000000</v>
      </c>
      <c r="AA2">
        <v>16212000</v>
      </c>
      <c r="AB2">
        <v>0</v>
      </c>
      <c r="AC2">
        <v>0</v>
      </c>
      <c r="AD2">
        <v>0</v>
      </c>
      <c r="AE2">
        <v>265169000</v>
      </c>
      <c r="AF2">
        <v>-259090000</v>
      </c>
      <c r="AG2">
        <v>10125000</v>
      </c>
      <c r="AH2">
        <v>-1481000</v>
      </c>
      <c r="AI2">
        <v>45000</v>
      </c>
      <c r="AJ2">
        <v>-1802000</v>
      </c>
      <c r="AK2">
        <v>7026000</v>
      </c>
      <c r="AL2" s="1" t="s">
        <v>58</v>
      </c>
      <c r="AM2" s="1" t="s">
        <v>57</v>
      </c>
      <c r="AN2" s="1" t="s">
        <v>57</v>
      </c>
      <c r="AO2" s="1" t="s">
        <v>59</v>
      </c>
      <c r="AP2" s="1" t="s">
        <v>60</v>
      </c>
      <c r="AQ2" s="1" t="s">
        <v>61</v>
      </c>
      <c r="AR2" s="1" t="s">
        <v>62</v>
      </c>
      <c r="AS2" s="1" t="s">
        <v>63</v>
      </c>
      <c r="AT2" s="1" t="s">
        <v>64</v>
      </c>
      <c r="AU2" s="1" t="s">
        <v>65</v>
      </c>
      <c r="AV2" s="1" t="s">
        <v>66</v>
      </c>
      <c r="AW2" s="1" t="s">
        <v>67</v>
      </c>
      <c r="AX2" s="1" t="s">
        <v>68</v>
      </c>
      <c r="AY2" s="1" t="s">
        <v>69</v>
      </c>
      <c r="AZ2" s="1" t="s">
        <v>70</v>
      </c>
    </row>
    <row r="3" spans="1:52" x14ac:dyDescent="0.25">
      <c r="A3" s="1" t="s">
        <v>71</v>
      </c>
      <c r="B3" s="1" t="s">
        <v>72</v>
      </c>
      <c r="C3" s="1" t="s">
        <v>63</v>
      </c>
      <c r="D3" s="1" t="s">
        <v>55</v>
      </c>
      <c r="E3" s="1" t="s">
        <v>56</v>
      </c>
      <c r="F3" s="1" t="s">
        <v>56</v>
      </c>
      <c r="G3" s="1" t="s">
        <v>57</v>
      </c>
      <c r="H3">
        <v>48972432</v>
      </c>
      <c r="I3">
        <v>13158835</v>
      </c>
      <c r="J3">
        <v>20507362</v>
      </c>
      <c r="K3">
        <v>0</v>
      </c>
      <c r="L3">
        <v>15306235</v>
      </c>
      <c r="M3">
        <v>32115887</v>
      </c>
      <c r="N3">
        <v>51845</v>
      </c>
      <c r="O3">
        <v>32064042</v>
      </c>
      <c r="P3">
        <v>40418072</v>
      </c>
      <c r="Q3">
        <v>0</v>
      </c>
      <c r="R3">
        <v>20471689</v>
      </c>
      <c r="S3">
        <v>359523</v>
      </c>
      <c r="T3">
        <v>315475</v>
      </c>
      <c r="U3">
        <v>19271385</v>
      </c>
      <c r="V3">
        <v>24285035</v>
      </c>
      <c r="W3">
        <v>0</v>
      </c>
      <c r="X3">
        <v>24285035</v>
      </c>
      <c r="Y3">
        <v>16385212</v>
      </c>
      <c r="Z3">
        <v>14375000</v>
      </c>
      <c r="AA3">
        <v>2010212</v>
      </c>
      <c r="AB3">
        <v>0</v>
      </c>
      <c r="AC3">
        <v>0</v>
      </c>
      <c r="AD3">
        <v>0</v>
      </c>
      <c r="AE3">
        <v>114558126</v>
      </c>
      <c r="AF3">
        <v>-106661228</v>
      </c>
      <c r="AG3">
        <v>3161271</v>
      </c>
      <c r="AH3">
        <v>-4238815</v>
      </c>
      <c r="AI3">
        <v>7789521</v>
      </c>
      <c r="AJ3">
        <v>-2698658</v>
      </c>
      <c r="AK3">
        <v>5090863</v>
      </c>
      <c r="AL3" s="1" t="s">
        <v>73</v>
      </c>
      <c r="AM3" s="1" t="s">
        <v>74</v>
      </c>
      <c r="AN3" s="1" t="s">
        <v>57</v>
      </c>
      <c r="AO3" s="1" t="s">
        <v>75</v>
      </c>
      <c r="AP3" s="1" t="s">
        <v>76</v>
      </c>
      <c r="AQ3" s="1" t="s">
        <v>61</v>
      </c>
      <c r="AR3" s="1" t="s">
        <v>77</v>
      </c>
      <c r="AS3" s="1" t="s">
        <v>63</v>
      </c>
      <c r="AT3" s="1" t="s">
        <v>78</v>
      </c>
      <c r="AU3" s="1" t="s">
        <v>65</v>
      </c>
      <c r="AV3" s="1" t="s">
        <v>66</v>
      </c>
      <c r="AW3" s="1" t="s">
        <v>67</v>
      </c>
      <c r="AX3" s="1" t="s">
        <v>79</v>
      </c>
      <c r="AY3" s="1" t="s">
        <v>80</v>
      </c>
      <c r="AZ3" s="1" t="s">
        <v>70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81F9B-F5E5-41D9-9C4C-D6E89D9A96CC}">
  <dimension ref="A1:AZ29"/>
  <sheetViews>
    <sheetView tabSelected="1" workbookViewId="0">
      <selection activeCell="I24" sqref="I24"/>
    </sheetView>
  </sheetViews>
  <sheetFormatPr defaultRowHeight="15" x14ac:dyDescent="0.25"/>
  <cols>
    <col min="1" max="1" width="23.7109375" customWidth="1"/>
    <col min="2" max="2" width="20.5703125" bestFit="1" customWidth="1"/>
    <col min="3" max="3" width="14.5703125" bestFit="1" customWidth="1"/>
    <col min="4" max="4" width="17.28515625" bestFit="1" customWidth="1"/>
    <col min="5" max="5" width="13.5703125" bestFit="1" customWidth="1"/>
    <col min="6" max="6" width="20.28515625" bestFit="1" customWidth="1"/>
    <col min="7" max="7" width="5.42578125" bestFit="1" customWidth="1"/>
    <col min="8" max="8" width="19.5703125" bestFit="1" customWidth="1"/>
    <col min="9" max="9" width="26.28515625" bestFit="1" customWidth="1"/>
    <col min="10" max="10" width="19.5703125" bestFit="1" customWidth="1"/>
    <col min="11" max="11" width="9.140625" bestFit="1" customWidth="1"/>
    <col min="12" max="12" width="24.28515625" bestFit="1" customWidth="1"/>
    <col min="13" max="13" width="19.5703125" bestFit="1" customWidth="1"/>
    <col min="14" max="14" width="26.42578125" bestFit="1" customWidth="1"/>
    <col min="15" max="15" width="24" bestFit="1" customWidth="1"/>
    <col min="16" max="16" width="19.5703125" bestFit="1" customWidth="1"/>
    <col min="17" max="17" width="15.5703125" bestFit="1" customWidth="1"/>
    <col min="18" max="18" width="19.5703125" bestFit="1" customWidth="1"/>
    <col min="19" max="19" width="23.28515625" bestFit="1" customWidth="1"/>
    <col min="20" max="20" width="18.28515625" bestFit="1" customWidth="1"/>
    <col min="21" max="21" width="20.7109375" bestFit="1" customWidth="1"/>
    <col min="22" max="22" width="22" bestFit="1" customWidth="1"/>
    <col min="23" max="23" width="15.28515625" bestFit="1" customWidth="1"/>
    <col min="24" max="24" width="20.42578125" bestFit="1" customWidth="1"/>
    <col min="25" max="26" width="19.5703125" bestFit="1" customWidth="1"/>
    <col min="27" max="27" width="18" bestFit="1" customWidth="1"/>
    <col min="28" max="28" width="17.140625" bestFit="1" customWidth="1"/>
    <col min="29" max="29" width="12.7109375" bestFit="1" customWidth="1"/>
    <col min="30" max="30" width="21.85546875" bestFit="1" customWidth="1"/>
    <col min="31" max="31" width="31.5703125" bestFit="1" customWidth="1"/>
    <col min="32" max="32" width="20.5703125" bestFit="1" customWidth="1"/>
    <col min="33" max="33" width="27.5703125" bestFit="1" customWidth="1"/>
    <col min="34" max="34" width="22.5703125" bestFit="1" customWidth="1"/>
    <col min="35" max="35" width="20.140625" bestFit="1" customWidth="1"/>
    <col min="36" max="37" width="18" bestFit="1" customWidth="1"/>
    <col min="39" max="39" width="20" bestFit="1" customWidth="1"/>
    <col min="40" max="40" width="11.5703125" bestFit="1" customWidth="1"/>
    <col min="41" max="41" width="16.5703125" bestFit="1" customWidth="1"/>
    <col min="42" max="42" width="19.28515625" bestFit="1" customWidth="1"/>
    <col min="43" max="43" width="16" bestFit="1" customWidth="1"/>
    <col min="44" max="44" width="26.7109375" bestFit="1" customWidth="1"/>
    <col min="45" max="45" width="13.28515625" bestFit="1" customWidth="1"/>
    <col min="46" max="46" width="5.140625" bestFit="1" customWidth="1"/>
    <col min="47" max="47" width="7.5703125" bestFit="1" customWidth="1"/>
    <col min="48" max="48" width="17.7109375" bestFit="1" customWidth="1"/>
    <col min="49" max="49" width="19.7109375" bestFit="1" customWidth="1"/>
    <col min="50" max="50" width="18.28515625" bestFit="1" customWidth="1"/>
    <col min="51" max="51" width="8.42578125" bestFit="1" customWidth="1"/>
    <col min="52" max="52" width="6.42578125" bestFit="1" customWidth="1"/>
  </cols>
  <sheetData>
    <row r="1" spans="1:5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</row>
    <row r="2" spans="1:52" x14ac:dyDescent="0.25">
      <c r="A2" s="1" t="s">
        <v>71</v>
      </c>
      <c r="B2" s="1" t="s">
        <v>72</v>
      </c>
      <c r="C2" s="1" t="s">
        <v>63</v>
      </c>
      <c r="D2" s="1" t="s">
        <v>55</v>
      </c>
      <c r="E2" s="1" t="s">
        <v>56</v>
      </c>
      <c r="F2" s="1" t="s">
        <v>56</v>
      </c>
      <c r="G2" s="1" t="s">
        <v>57</v>
      </c>
      <c r="H2">
        <v>48972432</v>
      </c>
      <c r="I2">
        <v>13158835</v>
      </c>
      <c r="J2">
        <v>20507362</v>
      </c>
      <c r="K2">
        <v>0</v>
      </c>
      <c r="L2">
        <v>15306235</v>
      </c>
      <c r="M2">
        <v>32115887</v>
      </c>
      <c r="N2">
        <v>51845</v>
      </c>
      <c r="O2">
        <v>32064042</v>
      </c>
      <c r="P2">
        <v>40418072</v>
      </c>
      <c r="Q2">
        <v>0</v>
      </c>
      <c r="R2">
        <v>20471689</v>
      </c>
      <c r="S2">
        <v>359523</v>
      </c>
      <c r="T2">
        <v>315475</v>
      </c>
      <c r="U2">
        <v>19271385</v>
      </c>
      <c r="V2">
        <v>24285035</v>
      </c>
      <c r="W2">
        <v>0</v>
      </c>
      <c r="X2">
        <v>24285035</v>
      </c>
      <c r="Y2">
        <v>16385212</v>
      </c>
      <c r="Z2">
        <v>14375000</v>
      </c>
      <c r="AA2">
        <v>2010212</v>
      </c>
      <c r="AB2">
        <v>0</v>
      </c>
      <c r="AC2">
        <v>0</v>
      </c>
      <c r="AD2">
        <v>0</v>
      </c>
      <c r="AE2">
        <v>114558126</v>
      </c>
      <c r="AF2">
        <v>-106661228</v>
      </c>
      <c r="AG2">
        <v>3161271</v>
      </c>
      <c r="AH2">
        <v>-4238815</v>
      </c>
      <c r="AI2">
        <v>7789521</v>
      </c>
      <c r="AJ2">
        <v>-2698658</v>
      </c>
      <c r="AK2">
        <v>5090863</v>
      </c>
      <c r="AL2" s="1" t="s">
        <v>73</v>
      </c>
      <c r="AM2" s="1" t="s">
        <v>74</v>
      </c>
      <c r="AN2" s="1" t="s">
        <v>57</v>
      </c>
      <c r="AO2" s="1" t="s">
        <v>75</v>
      </c>
      <c r="AP2" s="1" t="s">
        <v>76</v>
      </c>
      <c r="AQ2" s="1" t="s">
        <v>61</v>
      </c>
      <c r="AR2" s="1" t="s">
        <v>77</v>
      </c>
      <c r="AS2" s="1" t="s">
        <v>63</v>
      </c>
      <c r="AT2" s="1" t="s">
        <v>78</v>
      </c>
      <c r="AU2" s="1" t="s">
        <v>65</v>
      </c>
      <c r="AV2" s="1" t="s">
        <v>66</v>
      </c>
      <c r="AW2" s="1" t="s">
        <v>67</v>
      </c>
      <c r="AX2" s="1" t="s">
        <v>79</v>
      </c>
      <c r="AY2" s="1" t="s">
        <v>80</v>
      </c>
      <c r="AZ2" s="1" t="s">
        <v>70</v>
      </c>
    </row>
    <row r="5" spans="1:52" x14ac:dyDescent="0.25">
      <c r="A5" s="2"/>
      <c r="B5" s="2"/>
      <c r="C5" s="2"/>
      <c r="D5" s="2" t="s">
        <v>92</v>
      </c>
      <c r="E5" s="2"/>
      <c r="F5" s="2" t="s">
        <v>93</v>
      </c>
    </row>
    <row r="6" spans="1:52" x14ac:dyDescent="0.25">
      <c r="A6" s="2" t="s">
        <v>81</v>
      </c>
      <c r="B6" s="2">
        <f>H2/P2</f>
        <v>1.2116469088382049</v>
      </c>
      <c r="C6" s="2"/>
      <c r="D6" s="2">
        <v>3</v>
      </c>
      <c r="E6" s="2"/>
      <c r="F6" s="3">
        <v>0.15</v>
      </c>
    </row>
    <row r="7" spans="1:52" x14ac:dyDescent="0.25">
      <c r="A7" s="2"/>
      <c r="B7" s="2"/>
      <c r="C7" s="2"/>
      <c r="D7" s="2"/>
      <c r="E7" s="2"/>
      <c r="F7" s="3"/>
    </row>
    <row r="8" spans="1:52" x14ac:dyDescent="0.25">
      <c r="A8" s="2" t="s">
        <v>82</v>
      </c>
      <c r="B8" s="2">
        <f>(H2+O2)/(P2+V2)</f>
        <v>1.2524355901487081</v>
      </c>
      <c r="C8" s="2"/>
      <c r="D8" s="2">
        <v>5</v>
      </c>
      <c r="E8" s="2"/>
      <c r="F8" s="3">
        <v>0.05</v>
      </c>
    </row>
    <row r="9" spans="1:52" x14ac:dyDescent="0.25">
      <c r="A9" s="2"/>
      <c r="B9" s="2"/>
      <c r="C9" s="2"/>
      <c r="D9" s="2"/>
      <c r="E9" s="2"/>
      <c r="F9" s="3"/>
    </row>
    <row r="10" spans="1:52" x14ac:dyDescent="0.25">
      <c r="A10" s="2" t="s">
        <v>83</v>
      </c>
      <c r="B10" s="4">
        <f>Z2+AA2+AB2</f>
        <v>16385212</v>
      </c>
      <c r="C10" s="2"/>
      <c r="D10" s="2">
        <v>2</v>
      </c>
      <c r="E10" s="2"/>
      <c r="F10" s="3">
        <v>0.15</v>
      </c>
    </row>
    <row r="11" spans="1:52" x14ac:dyDescent="0.25">
      <c r="A11" s="2"/>
      <c r="B11" s="2"/>
      <c r="C11" s="2"/>
      <c r="D11" s="2"/>
      <c r="E11" s="2"/>
      <c r="F11" s="3"/>
    </row>
    <row r="12" spans="1:52" x14ac:dyDescent="0.25">
      <c r="A12" s="2" t="s">
        <v>84</v>
      </c>
      <c r="B12" s="2">
        <f>(H2-K2)/P2</f>
        <v>1.2116469088382049</v>
      </c>
      <c r="C12" s="2"/>
      <c r="D12" s="2"/>
      <c r="E12" s="2"/>
      <c r="F12" s="3"/>
    </row>
    <row r="13" spans="1:52" x14ac:dyDescent="0.25">
      <c r="A13" s="2"/>
      <c r="B13" s="2"/>
      <c r="C13" s="2"/>
      <c r="D13" s="2"/>
      <c r="E13" s="2"/>
      <c r="F13" s="3"/>
    </row>
    <row r="14" spans="1:52" x14ac:dyDescent="0.25">
      <c r="A14" s="2" t="s">
        <v>86</v>
      </c>
      <c r="B14" s="2">
        <f>(AK2/B10*0.05)+(B8*1.65)+(B12*3.55)-(B6*1.06)-(B16*0.33)</f>
        <v>3.7959266558149727</v>
      </c>
      <c r="C14" s="2"/>
      <c r="D14" s="2">
        <v>3</v>
      </c>
      <c r="E14" s="2"/>
      <c r="F14" s="3">
        <v>0.1</v>
      </c>
    </row>
    <row r="15" spans="1:52" x14ac:dyDescent="0.25">
      <c r="A15" s="2"/>
      <c r="B15" s="2"/>
      <c r="C15" s="2"/>
      <c r="D15" s="2"/>
      <c r="E15" s="2"/>
      <c r="F15" s="3"/>
    </row>
    <row r="16" spans="1:52" x14ac:dyDescent="0.25">
      <c r="A16" s="2" t="s">
        <v>85</v>
      </c>
      <c r="B16" s="2">
        <f>(P2+V2)/B10</f>
        <v>3.9488721293322295</v>
      </c>
      <c r="C16" s="2"/>
      <c r="D16" s="2">
        <v>-2</v>
      </c>
      <c r="E16" s="2"/>
      <c r="F16" s="3">
        <v>0.1</v>
      </c>
    </row>
    <row r="17" spans="1:6" x14ac:dyDescent="0.25">
      <c r="A17" s="2"/>
      <c r="B17" s="2"/>
      <c r="C17" s="2"/>
      <c r="D17" s="2"/>
      <c r="E17" s="2"/>
      <c r="F17" s="3"/>
    </row>
    <row r="18" spans="1:6" x14ac:dyDescent="0.25">
      <c r="A18" s="2" t="s">
        <v>87</v>
      </c>
      <c r="B18" s="5">
        <f>AE2/B10</f>
        <v>6.9915559224988968</v>
      </c>
      <c r="C18" s="2"/>
      <c r="D18" s="2">
        <v>-2</v>
      </c>
      <c r="E18" s="2"/>
      <c r="F18" s="3">
        <v>0.05</v>
      </c>
    </row>
    <row r="19" spans="1:6" x14ac:dyDescent="0.25">
      <c r="A19" s="2"/>
      <c r="B19" s="2"/>
      <c r="C19" s="2"/>
      <c r="D19" s="2"/>
      <c r="E19" s="2"/>
      <c r="F19" s="3"/>
    </row>
    <row r="20" spans="1:6" x14ac:dyDescent="0.25">
      <c r="A20" s="2" t="s">
        <v>88</v>
      </c>
      <c r="B20" s="4">
        <f>I2</f>
        <v>13158835</v>
      </c>
      <c r="C20" s="2"/>
      <c r="D20" s="2">
        <v>2</v>
      </c>
      <c r="E20" s="2"/>
      <c r="F20" s="3">
        <v>0.15</v>
      </c>
    </row>
    <row r="21" spans="1:6" x14ac:dyDescent="0.25">
      <c r="A21" s="2"/>
      <c r="B21" s="2"/>
      <c r="C21" s="2"/>
      <c r="D21" s="2"/>
      <c r="E21" s="2"/>
      <c r="F21" s="3"/>
    </row>
    <row r="22" spans="1:6" x14ac:dyDescent="0.25">
      <c r="A22" s="2" t="s">
        <v>37</v>
      </c>
      <c r="B22" s="2" t="str">
        <f>IF(AL2 ="","","Existe")</f>
        <v>Existe</v>
      </c>
      <c r="C22" s="2"/>
      <c r="D22" s="2">
        <v>5</v>
      </c>
      <c r="E22" s="2"/>
      <c r="F22" s="3">
        <v>0.05</v>
      </c>
    </row>
    <row r="23" spans="1:6" x14ac:dyDescent="0.25">
      <c r="A23" s="2"/>
      <c r="B23" s="2"/>
      <c r="C23" s="2"/>
      <c r="D23" s="2"/>
      <c r="E23" s="2"/>
      <c r="F23" s="3"/>
    </row>
    <row r="24" spans="1:6" x14ac:dyDescent="0.25">
      <c r="A24" s="2" t="s">
        <v>89</v>
      </c>
      <c r="B24" s="2">
        <f>J2/AE2*365</f>
        <v>65.339643649547824</v>
      </c>
      <c r="C24" s="2"/>
      <c r="D24" s="2">
        <v>0</v>
      </c>
      <c r="E24" s="2"/>
      <c r="F24" s="3">
        <v>0.05</v>
      </c>
    </row>
    <row r="25" spans="1:6" x14ac:dyDescent="0.25">
      <c r="A25" s="2"/>
      <c r="B25" s="2"/>
      <c r="C25" s="2"/>
      <c r="D25" s="2"/>
      <c r="E25" s="2"/>
      <c r="F25" s="3"/>
    </row>
    <row r="26" spans="1:6" x14ac:dyDescent="0.25">
      <c r="A26" s="2" t="s">
        <v>90</v>
      </c>
      <c r="B26" s="2">
        <f>R2/AF2*365</f>
        <v>-70.055132732955229</v>
      </c>
      <c r="C26" s="2" t="s">
        <v>95</v>
      </c>
      <c r="D26" s="2">
        <v>0</v>
      </c>
      <c r="E26" s="2"/>
      <c r="F26" s="3">
        <v>0.05</v>
      </c>
    </row>
    <row r="27" spans="1:6" x14ac:dyDescent="0.25">
      <c r="A27" s="2"/>
      <c r="B27" s="2"/>
      <c r="C27" s="2"/>
      <c r="D27" s="2"/>
      <c r="E27" s="2"/>
      <c r="F27" s="3"/>
    </row>
    <row r="28" spans="1:6" x14ac:dyDescent="0.25">
      <c r="A28" s="2" t="s">
        <v>91</v>
      </c>
      <c r="B28" s="2">
        <f>(P2+V2-I2)/(AE2+AF2+AH2)</f>
        <v>14.090514622002836</v>
      </c>
      <c r="C28" s="2"/>
      <c r="D28" s="2">
        <v>-2</v>
      </c>
      <c r="E28" s="2"/>
      <c r="F28" s="3">
        <v>0.1</v>
      </c>
    </row>
    <row r="29" spans="1:6" x14ac:dyDescent="0.25">
      <c r="A29" s="2"/>
      <c r="B29" s="2"/>
      <c r="C29" s="2"/>
      <c r="D29" s="6" t="s">
        <v>94</v>
      </c>
      <c r="E29" s="6">
        <f>SUMPRODUCT(D6:D28,F6:F28)</f>
        <v>1.35</v>
      </c>
      <c r="F29" s="2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C4E80CA58EE141A4B8AF89CA6AF4D8" ma:contentTypeVersion="10" ma:contentTypeDescription="Create a new document." ma:contentTypeScope="" ma:versionID="743e3793e0ea4c08623fb868b0623abf">
  <xsd:schema xmlns:xsd="http://www.w3.org/2001/XMLSchema" xmlns:xs="http://www.w3.org/2001/XMLSchema" xmlns:p="http://schemas.microsoft.com/office/2006/metadata/properties" xmlns:ns3="37bb1fcb-bc58-4c72-b9b5-71b1ed004476" targetNamespace="http://schemas.microsoft.com/office/2006/metadata/properties" ma:root="true" ma:fieldsID="c6633b9900ee586abb1b8295314fe7ae" ns3:_="">
    <xsd:import namespace="37bb1fcb-bc58-4c72-b9b5-71b1ed00447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bb1fcb-bc58-4c72-b9b5-71b1ed004476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7bb1fcb-bc58-4c72-b9b5-71b1ed004476" xsi:nil="true"/>
  </documentManagement>
</p:properties>
</file>

<file path=customXml/itemProps1.xml><?xml version="1.0" encoding="utf-8"?>
<ds:datastoreItem xmlns:ds="http://schemas.openxmlformats.org/officeDocument/2006/customXml" ds:itemID="{7456BF23-A59B-493D-B4BA-8C218E0352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759A894-19DF-4DCC-808B-BF541712F5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bb1fcb-bc58-4c72-b9b5-71b1ed0044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1243F93-B069-46C1-8EB9-361E7E09D38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4A9FD59-2536-4F7F-BD9B-DE6948109FCD}">
  <ds:schemaRefs>
    <ds:schemaRef ds:uri="http://schemas.openxmlformats.org/package/2006/metadata/core-properties"/>
    <ds:schemaRef ds:uri="http://purl.org/dc/terms/"/>
    <ds:schemaRef ds:uri="http://purl.org/dc/dcmitype/"/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37bb1fcb-bc58-4c72-b9b5-71b1ed004476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db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Luis Girardi</dc:creator>
  <cp:lastModifiedBy>Felipe Luis Girardi</cp:lastModifiedBy>
  <dcterms:created xsi:type="dcterms:W3CDTF">2025-08-08T16:14:26Z</dcterms:created>
  <dcterms:modified xsi:type="dcterms:W3CDTF">2025-08-08T17:02:50Z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0x0101002CC4E80CA58EE141A4B8AF89CA6AF4D8</vt:lpwstr>
  </property>
</Properties>
</file>